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Isha\Downloads\"/>
    </mc:Choice>
  </mc:AlternateContent>
  <bookViews>
    <workbookView xWindow="0" yWindow="0" windowWidth="19200" windowHeight="7050"/>
  </bookViews>
  <sheets>
    <sheet name="DASHBOARD" sheetId="2" r:id="rId1"/>
    <sheet name="RAW DATA" sheetId="1" r:id="rId2"/>
  </sheets>
  <definedNames>
    <definedName name="Slicer_Region">#N/A</definedName>
  </definedNames>
  <calcPr calcId="162913"/>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calcChain.xml><?xml version="1.0" encoding="utf-8"?>
<calcChain xmlns="http://schemas.openxmlformats.org/spreadsheetml/2006/main">
  <c r="I23" i="1" l="1"/>
  <c r="K23" i="1" s="1"/>
  <c r="L23" i="1" s="1"/>
  <c r="I22" i="1"/>
  <c r="K22" i="1" s="1"/>
  <c r="L22" i="1" s="1"/>
  <c r="I21" i="1"/>
  <c r="K21" i="1" s="1"/>
  <c r="L21" i="1" s="1"/>
  <c r="I20" i="1"/>
  <c r="K20" i="1" s="1"/>
  <c r="L20" i="1" s="1"/>
  <c r="K19" i="1"/>
  <c r="L19" i="1" s="1"/>
  <c r="I19" i="1"/>
  <c r="K18" i="1"/>
  <c r="L18" i="1" s="1"/>
  <c r="I18" i="1"/>
  <c r="K17" i="1"/>
  <c r="L17" i="1" s="1"/>
  <c r="I17" i="1"/>
  <c r="L16" i="1"/>
  <c r="K16" i="1"/>
  <c r="I16" i="1"/>
  <c r="I15" i="1"/>
  <c r="K15" i="1" s="1"/>
  <c r="L15" i="1" s="1"/>
  <c r="I14" i="1"/>
  <c r="K14" i="1" s="1"/>
  <c r="L14" i="1" s="1"/>
  <c r="I13" i="1"/>
  <c r="K13" i="1" s="1"/>
  <c r="L13" i="1" s="1"/>
  <c r="I12" i="1"/>
  <c r="K12" i="1" s="1"/>
  <c r="L12" i="1" s="1"/>
  <c r="K11" i="1"/>
  <c r="L11" i="1" s="1"/>
  <c r="I11" i="1"/>
  <c r="K10" i="1"/>
  <c r="L10" i="1" s="1"/>
  <c r="I10" i="1"/>
  <c r="K9" i="1"/>
  <c r="L9" i="1" s="1"/>
  <c r="I9" i="1"/>
  <c r="L8" i="1"/>
  <c r="K8" i="1"/>
  <c r="I8" i="1"/>
  <c r="I7" i="1"/>
  <c r="K7" i="1" s="1"/>
  <c r="L7" i="1" s="1"/>
  <c r="I6" i="1"/>
  <c r="K6" i="1" s="1"/>
  <c r="L6" i="1" s="1"/>
  <c r="I5" i="1"/>
  <c r="K5" i="1" s="1"/>
  <c r="L5" i="1" s="1"/>
  <c r="I4" i="1"/>
  <c r="K4" i="1" s="1"/>
  <c r="L4" i="1" s="1"/>
  <c r="K3" i="1"/>
  <c r="L3" i="1" s="1"/>
  <c r="I3" i="1"/>
  <c r="K2" i="1"/>
  <c r="L2" i="1" s="1"/>
  <c r="I2" i="1"/>
</calcChain>
</file>

<file path=xl/sharedStrings.xml><?xml version="1.0" encoding="utf-8"?>
<sst xmlns="http://schemas.openxmlformats.org/spreadsheetml/2006/main" count="98" uniqueCount="67">
  <si>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</si>
  <si>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</si>
  <si>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</si>
  <si>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</si>
  <si>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</si>
  <si>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</si>
  <si>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</si>
  <si>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</si>
  <si>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</si>
  <si>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</si>
  <si>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</si>
  <si>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</si>
  <si>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</si>
  <si>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</si>
  <si>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</si>
  <si>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</si>
  <si>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</si>
  <si>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</si>
  <si>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</si>
  <si>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</si>
  <si>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</si>
  <si>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</si>
  <si>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</si>
  <si>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</si>
  <si>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</si>
  <si>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</si>
  <si>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</si>
  <si>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</si>
  <si>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</si>
  <si>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</si>
  <si>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</si>
  <si>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</si>
  <si>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</si>
  <si>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</si>
  <si>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</si>
  <si>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</si>
  <si>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</si>
  <si>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</si>
  <si>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</si>
  <si>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</si>
  <si>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</si>
  <si>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</si>
  <si>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</si>
  <si>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</si>
  <si>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</si>
  <si>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</si>
  <si>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</si>
  <si>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</si>
  <si>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</si>
  <si>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</si>
  <si>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</si>
  <si>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</si>
  <si>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</si>
  <si>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</si>
  <si>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</si>
  <si>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</si>
  <si>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</si>
  <si>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</si>
  <si>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</si>
  <si>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</si>
  <si>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</si>
  <si>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</si>
  <si>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</si>
  <si>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</si>
  <si>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 xml:space="preserve">Total Sales </t>
  </si>
  <si>
    <t xml:space="preserve"> Away From Target % wise</t>
  </si>
  <si>
    <t>target%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</si>
</sst>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color rgb="FF000000"/>
      <name val="Arial"/>
    </font>
    <font>
      <sz val="10"/>
      <name val="Arial"/>
    </font>
    <font>
      <sz val="11"/>
      <color theme="0" tint="-0.249977111117893"/>
      <name val="Calibri"/>
      <family val="2"/>
      <scheme val="minor"/>
    </font>
  </fonts>
  <fills count="5">
    <fill>
      <patternFill patternType="none"/>
    </fill>
    <fill>
      <patternFill patternType="gray125"/>
    </fill>
    <fill>
      <patternFill patternType="solid">
        <fgColor rgb="FFFFD700"/>
        <bgColor rgb="FFFFD700"/>
      </patternFill>
    </fill>
    <fill>
      <patternFill patternType="solid">
        <fgColor rgb="FFFFFF00"/>
        <bgColor rgb="FFFFFF00"/>
      </patternFill>
    </fill>
    <fill>
      <patternFill patternType="solid">
        <fgColor theme="0" tint="-0.349986266670735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xf>
    <xf numFmtId="0" fontId="2" fillId="0" borderId="1" xfId="0" applyFont="1" applyBorder="1" applyAlignment="1">
      <alignment horizontal="center"/>
    </xf>
    <xf numFmtId="0" fontId="2" fillId="3" borderId="1" xfId="0" applyFont="1" applyFill="1" applyBorder="1" applyAlignment="1">
      <alignment horizontal="center"/>
    </xf>
    <xf numFmtId="10" fontId="2" fillId="0" borderId="1" xfId="0" applyNumberFormat="1"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4" borderId="0" xfId="0" applyFill="1"/>
    <xf numFmtId="0" fontId="3" fillId="4" borderId="0" xfId="0" applyFont="1" applyFill="1" applyAlignment="1">
      <alignment horizontal="center"/>
    </xf>
  </cellXfs>
  <cellStyles count="1">
    <cellStyle name="Normal" xfId="0" builtinId="0"/>
  </cellStyles>
  <dxfs count="109">
    <dxf>
      <numFmt numFmtId="165" formatCode="0.000%"/>
    </dxf>
    <dxf>
      <numFmt numFmtId="14" formatCode="0.00%"/>
    </dxf>
    <dxf>
      <numFmt numFmtId="164" formatCode="0.0%"/>
    </dxf>
    <dxf>
      <numFmt numFmtId="13" formatCode="0%"/>
    </dxf>
    <dxf>
      <numFmt numFmtId="164" formatCode="0.0%"/>
    </dxf>
    <dxf>
      <numFmt numFmtId="14" formatCode="0.00%"/>
    </dxf>
    <dxf>
      <numFmt numFmtId="165" formatCode="0.000%"/>
    </dxf>
    <dxf>
      <numFmt numFmtId="14" formatCode="0.00%"/>
    </dxf>
    <dxf>
      <numFmt numFmtId="13" formatCode="0%"/>
    </dxf>
    <dxf>
      <numFmt numFmtId="13" formatCode="0%"/>
    </dxf>
    <dxf>
      <numFmt numFmtId="164" formatCode="0.0%"/>
    </dxf>
    <dxf>
      <numFmt numFmtId="14" formatCode="0.00%"/>
    </dxf>
    <dxf>
      <numFmt numFmtId="165" formatCode="0.000%"/>
    </dxf>
    <dxf>
      <numFmt numFmtId="14" formatCode="0.00%"/>
    </dxf>
    <dxf>
      <numFmt numFmtId="164" formatCode="0.0%"/>
    </dxf>
    <dxf>
      <numFmt numFmtId="13" formatCode="0%"/>
    </dxf>
    <dxf>
      <numFmt numFmtId="164" formatCode="0.0%"/>
    </dxf>
    <dxf>
      <numFmt numFmtId="14" formatCode="0.00%"/>
    </dxf>
    <dxf>
      <numFmt numFmtId="165" formatCode="0.000%"/>
    </dxf>
    <dxf>
      <numFmt numFmtId="14" formatCode="0.00%"/>
    </dxf>
    <dxf>
      <numFmt numFmtId="13" formatCode="0%"/>
    </dxf>
    <dxf>
      <numFmt numFmtId="13" formatCode="0%"/>
    </dxf>
    <dxf>
      <numFmt numFmtId="164" formatCode="0.0%"/>
    </dxf>
    <dxf>
      <numFmt numFmtId="14" formatCode="0.00%"/>
    </dxf>
    <dxf>
      <numFmt numFmtId="165" formatCode="0.000%"/>
    </dxf>
    <dxf>
      <numFmt numFmtId="14" formatCode="0.00%"/>
    </dxf>
    <dxf>
      <numFmt numFmtId="164" formatCode="0.0%"/>
    </dxf>
    <dxf>
      <numFmt numFmtId="13" formatCode="0%"/>
    </dxf>
    <dxf>
      <numFmt numFmtId="164" formatCode="0.0%"/>
    </dxf>
    <dxf>
      <numFmt numFmtId="14" formatCode="0.00%"/>
    </dxf>
    <dxf>
      <numFmt numFmtId="165" formatCode="0.000%"/>
    </dxf>
    <dxf>
      <numFmt numFmtId="14" formatCode="0.00%"/>
    </dxf>
    <dxf>
      <numFmt numFmtId="13" formatCode="0%"/>
    </dxf>
    <dxf>
      <numFmt numFmtId="13" formatCode="0%"/>
    </dxf>
    <dxf>
      <numFmt numFmtId="164" formatCode="0.0%"/>
    </dxf>
    <dxf>
      <numFmt numFmtId="14" formatCode="0.00%"/>
    </dxf>
    <dxf>
      <numFmt numFmtId="165" formatCode="0.000%"/>
    </dxf>
    <dxf>
      <numFmt numFmtId="14" formatCode="0.00%"/>
    </dxf>
    <dxf>
      <numFmt numFmtId="164" formatCode="0.0%"/>
    </dxf>
    <dxf>
      <numFmt numFmtId="13" formatCode="0%"/>
    </dxf>
    <dxf>
      <numFmt numFmtId="164" formatCode="0.0%"/>
    </dxf>
    <dxf>
      <numFmt numFmtId="14" formatCode="0.00%"/>
    </dxf>
    <dxf>
      <numFmt numFmtId="165" formatCode="0.000%"/>
    </dxf>
    <dxf>
      <numFmt numFmtId="14" formatCode="0.00%"/>
    </dxf>
    <dxf>
      <numFmt numFmtId="13" formatCode="0%"/>
    </dxf>
    <dxf>
      <numFmt numFmtId="13" formatCode="0%"/>
    </dxf>
    <dxf>
      <numFmt numFmtId="164" formatCode="0.0%"/>
    </dxf>
    <dxf>
      <numFmt numFmtId="14" formatCode="0.00%"/>
    </dxf>
    <dxf>
      <numFmt numFmtId="165" formatCode="0.000%"/>
    </dxf>
    <dxf>
      <numFmt numFmtId="14" formatCode="0.00%"/>
    </dxf>
    <dxf>
      <numFmt numFmtId="164" formatCode="0.0%"/>
    </dxf>
    <dxf>
      <numFmt numFmtId="13" formatCode="0%"/>
    </dxf>
    <dxf>
      <numFmt numFmtId="164" formatCode="0.0%"/>
    </dxf>
    <dxf>
      <numFmt numFmtId="14" formatCode="0.00%"/>
    </dxf>
    <dxf>
      <numFmt numFmtId="165" formatCode="0.000%"/>
    </dxf>
    <dxf>
      <numFmt numFmtId="14" formatCode="0.00%"/>
    </dxf>
    <dxf>
      <numFmt numFmtId="13" formatCode="0%"/>
    </dxf>
    <dxf>
      <numFmt numFmtId="13" formatCode="0%"/>
    </dxf>
    <dxf>
      <numFmt numFmtId="164" formatCode="0.0%"/>
    </dxf>
    <dxf>
      <numFmt numFmtId="14" formatCode="0.00%"/>
    </dxf>
    <dxf>
      <numFmt numFmtId="165" formatCode="0.000%"/>
    </dxf>
    <dxf>
      <numFmt numFmtId="14" formatCode="0.00%"/>
    </dxf>
    <dxf>
      <numFmt numFmtId="164" formatCode="0.0%"/>
    </dxf>
    <dxf>
      <numFmt numFmtId="13" formatCode="0%"/>
    </dxf>
    <dxf>
      <numFmt numFmtId="164" formatCode="0.0%"/>
    </dxf>
    <dxf>
      <numFmt numFmtId="14" formatCode="0.00%"/>
    </dxf>
    <dxf>
      <numFmt numFmtId="165" formatCode="0.000%"/>
    </dxf>
    <dxf>
      <numFmt numFmtId="14" formatCode="0.00%"/>
    </dxf>
    <dxf>
      <numFmt numFmtId="13" formatCode="0%"/>
    </dxf>
    <dxf>
      <numFmt numFmtId="13" formatCode="0%"/>
    </dxf>
    <dxf>
      <numFmt numFmtId="164" formatCode="0.0%"/>
    </dxf>
    <dxf>
      <numFmt numFmtId="14" formatCode="0.00%"/>
    </dxf>
    <dxf>
      <numFmt numFmtId="165" formatCode="0.000%"/>
    </dxf>
    <dxf>
      <numFmt numFmtId="14" formatCode="0.00%"/>
    </dxf>
    <dxf>
      <numFmt numFmtId="164" formatCode="0.0%"/>
    </dxf>
    <dxf>
      <numFmt numFmtId="13" formatCode="0%"/>
    </dxf>
    <dxf>
      <numFmt numFmtId="164" formatCode="0.0%"/>
    </dxf>
    <dxf>
      <numFmt numFmtId="14" formatCode="0.00%"/>
    </dxf>
    <dxf>
      <numFmt numFmtId="165" formatCode="0.000%"/>
    </dxf>
    <dxf>
      <numFmt numFmtId="14" formatCode="0.00%"/>
    </dxf>
    <dxf>
      <numFmt numFmtId="13" formatCode="0%"/>
    </dxf>
    <dxf>
      <numFmt numFmtId="13" formatCode="0%"/>
    </dxf>
    <dxf>
      <numFmt numFmtId="164" formatCode="0.0%"/>
    </dxf>
    <dxf>
      <numFmt numFmtId="14" formatCode="0.00%"/>
    </dxf>
    <dxf>
      <numFmt numFmtId="165" formatCode="0.000%"/>
    </dxf>
    <dxf>
      <numFmt numFmtId="14" formatCode="0.00%"/>
    </dxf>
    <dxf>
      <numFmt numFmtId="164" formatCode="0.0%"/>
    </dxf>
    <dxf>
      <numFmt numFmtId="13" formatCode="0%"/>
    </dxf>
    <dxf>
      <numFmt numFmtId="164" formatCode="0.0%"/>
    </dxf>
    <dxf>
      <numFmt numFmtId="14" formatCode="0.00%"/>
    </dxf>
    <dxf>
      <numFmt numFmtId="165" formatCode="0.000%"/>
    </dxf>
    <dxf>
      <numFmt numFmtId="14" formatCode="0.00%"/>
    </dxf>
    <dxf>
      <numFmt numFmtId="13" formatCode="0%"/>
    </dxf>
    <dxf>
      <numFmt numFmtId="13" formatCode="0%"/>
    </dxf>
    <dxf>
      <numFmt numFmtId="164" formatCode="0.0%"/>
    </dxf>
    <dxf>
      <numFmt numFmtId="14" formatCode="0.00%"/>
    </dxf>
    <dxf>
      <fill>
        <patternFill>
          <bgColor theme="5" tint="-0.24994659260841701"/>
        </patternFill>
      </fill>
    </dxf>
    <dxf>
      <numFmt numFmtId="14" formatCode="0.00%"/>
    </dxf>
    <dxf>
      <numFmt numFmtId="164" formatCode="0.0%"/>
    </dxf>
    <dxf>
      <numFmt numFmtId="13" formatCode="0%"/>
    </dxf>
    <dxf>
      <numFmt numFmtId="13" formatCode="0%"/>
    </dxf>
    <dxf>
      <numFmt numFmtId="14" formatCode="0.00%"/>
    </dxf>
    <dxf>
      <numFmt numFmtId="165" formatCode="0.000%"/>
    </dxf>
    <dxf>
      <numFmt numFmtId="14" formatCode="0.00%"/>
    </dxf>
    <dxf>
      <numFmt numFmtId="164" formatCode="0.0%"/>
    </dxf>
    <dxf>
      <numFmt numFmtId="13" formatCode="0%"/>
    </dxf>
    <dxf>
      <numFmt numFmtId="164" formatCode="0.0%"/>
    </dxf>
    <dxf>
      <numFmt numFmtId="14" formatCode="0.00%"/>
    </dxf>
    <dxf>
      <numFmt numFmtId="165" formatCode="0.000%"/>
    </dxf>
  </dxfs>
  <tableStyles count="2" defaultTableStyle="TableStyleMedium9" defaultPivotStyle="PivotStyleLight16">
    <tableStyle name="Slicer Style 1" pivot="0" table="0" count="6">
      <tableStyleElement type="wholeTable" dxfId="96"/>
    </tableStyle>
    <tableStyle name="Slicer Style 2" pivot="0" table="0" count="1"/>
  </tableStyles>
  <colors>
    <mruColors>
      <color rgb="FFEE20DF"/>
    </mruColors>
  </colors>
  <extLst>
    <ext xmlns:x14="http://schemas.microsoft.com/office/spreadsheetml/2009/9/main" uri="{46F421CA-312F-682f-3DD2-61675219B42D}">
      <x14:dxfs count="8">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0"/>
            <x14:slicerStyleElement type="hoveredSelectedItemWithData" dxfId="1"/>
          </x14:slicerStyleElements>
        </x14:slicerStyle>
        <x14:slicerStyle name="Slicer Style 2">
          <x14:slicerStyleElements>
            <x14:slicerStyleElement type="selectedItemWithData" dxfId="7"/>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[sales_data.xlsx]DASHBOARD!PivotTable1</c:name>
    <c:fmtId val="0"/>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DASHBOARD!$B$3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DASHBOARD!$A$4:$A$6</c:f>
              <c:strCache>
                <c:ptCount val="3"/>
                <c:pt idx="0">
                  <c:v>Arvind Sharma</c:v>
                </c:pt>
                <c:pt idx="1">
                  <c:v>Sneh Khan</c:v>
                </c:pt>
                <c:pt idx="2">
                  <c:v>Surendranath Thakur</c:v>
                </c:pt>
              </c:strCache>
            </c:strRef>
          </c:cat>
          <c:val>
            <c:numRef>
              <c:f>DASHBOARD!$B$4:$B$6</c:f>
              <c:numCache>
                <c:formatCode>General</c:formatCode>
                <c:ptCount val="3"/>
                <c:pt idx="0">
                  <c:v>379</c:v>
                </c:pt>
                <c:pt idx="1">
                  <c:v>252</c:v>
                </c:pt>
                <c:pt idx="2">
                  <c:v>219</c:v>
                </c:pt>
              </c:numCache>
            </c:numRef>
          </c:val>
          <c:extLst>
            <c:ext xmlns:c16="http://schemas.microsoft.com/office/drawing/2014/chart" uri="{C3380CC4-5D6E-409C-BE32-E72D297353CC}">
              <c16:uniqueId val="{00000000-4E25-4404-8E46-CDB148E2F8C3}"/>
            </c:ext>
          </c:extLst>
        </c:ser>
        <c:dLbls>
          <c:showLegendKey val="0"/>
          <c:showVal val="0"/>
          <c:showCatName val="0"/>
          <c:showSerName val="0"/>
          <c:showPercent val="0"/>
          <c:showBubbleSize val="0"/>
        </c:dLbls>
        <c:gapWidth val="150"/>
        <c:shape val="box"/>
        <c:axId val="206908112"/>
        <c:axId val="206903952"/>
        <c:axId val="0"/>
      </c:bar3DChart>
      <c:catAx>
        <c:axId val="206908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03952"/>
        <c:crosses val="autoZero"/>
        <c:auto val="1"/>
        <c:lblAlgn val="ctr"/>
        <c:lblOffset val="100"/>
        <c:noMultiLvlLbl val="0"/>
      </c:catAx>
      <c:valAx>
        <c:axId val="206903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08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[sales_data.xlsx]DASHBOARD!PivotTable3</c:name>
    <c:fmtId val="2"/>
  </c:pivotSource>
  <c:chart>
    <c:autoTitleDeleted val="1"/>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pivotFmt>
    </c:pivotFmts>
    <c:plotArea>
      <c:layout/>
      <c:pieChart>
        <c:varyColors val="1"/>
        <c:ser>
          <c:idx val="0"/>
          <c:order val="0"/>
          <c:tx>
            <c:strRef>
              <c:f>DASHBOARD!$I$3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F48-4537-A956-AAEF87A4217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F48-4537-A956-AAEF87A4217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F48-4537-A956-AAEF87A4217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F48-4537-A956-AAEF87A4217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F48-4537-A956-AAEF87A4217C}"/>
              </c:ext>
            </c:extLst>
          </c:dPt>
          <c:dLbls>
            <c:delete val="1"/>
          </c:dLbls>
          <c:cat>
            <c:strRef>
              <c:f>DASHBOARD!$H$4:$H$6</c:f>
              <c:strCache>
                <c:ptCount val="3"/>
                <c:pt idx="0">
                  <c:v>Arvind Sharma</c:v>
                </c:pt>
                <c:pt idx="1">
                  <c:v>Sneh Khan</c:v>
                </c:pt>
                <c:pt idx="2">
                  <c:v>Surendranath Thakur</c:v>
                </c:pt>
              </c:strCache>
            </c:strRef>
          </c:cat>
          <c:val>
            <c:numRef>
              <c:f>DASHBOARD!$I$4:$I$6</c:f>
              <c:numCache>
                <c:formatCode>General</c:formatCode>
                <c:ptCount val="3"/>
                <c:pt idx="0">
                  <c:v>379</c:v>
                </c:pt>
                <c:pt idx="1">
                  <c:v>252</c:v>
                </c:pt>
                <c:pt idx="2">
                  <c:v>219</c:v>
                </c:pt>
              </c:numCache>
            </c:numRef>
          </c:val>
          <c:extLst>
            <c:ext xmlns:c16="http://schemas.microsoft.com/office/drawing/2014/chart" uri="{C3380CC4-5D6E-409C-BE32-E72D297353CC}">
              <c16:uniqueId val="{00000000-EBA7-49D0-87FC-EEB30F438DE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[sales_data.xlsx]DASHBOARD!PivotTable2</c:name>
    <c:fmtId val="0"/>
  </c:pivotSource>
  <c:chart>
    <c:autoTitleDeleted val="1"/>
    <c:pivotFmts>
      <c:pivotFmt>
        <c:idx val="0"/>
      </c:pivotFmt>
      <c:pivotFmt>
        <c:idx val="1"/>
        <c:spPr>
          <a:ln w="31750" cap="rnd">
            <a:solidFill>
              <a:schemeClr val="accent1"/>
            </a:solidFill>
            <a:round/>
          </a:ln>
          <a:effectLst/>
        </c:spPr>
        <c:marker>
          <c:symbol val="circle"/>
          <c:size val="17"/>
          <c:spPr>
            <a:solidFill>
              <a:schemeClr val="accen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
          <c:y val="0.19486111111111112"/>
          <c:w val="0.93888888888888888"/>
          <c:h val="0.67003098571011954"/>
        </c:manualLayout>
      </c:layout>
      <c:lineChart>
        <c:grouping val="standard"/>
        <c:varyColors val="0"/>
        <c:ser>
          <c:idx val="0"/>
          <c:order val="0"/>
          <c:tx>
            <c:strRef>
              <c:f>DASHBOARD!$F$3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DASHBOARD!$E$4:$E$6</c:f>
              <c:strCache>
                <c:ptCount val="3"/>
                <c:pt idx="0">
                  <c:v>Arvind Sharma</c:v>
                </c:pt>
                <c:pt idx="1">
                  <c:v>Sneh Khan</c:v>
                </c:pt>
                <c:pt idx="2">
                  <c:v>Surendranath Thakur</c:v>
                </c:pt>
              </c:strCache>
            </c:strRef>
          </c:cat>
          <c:val>
            <c:numRef>
              <c:f>DASHBOARD!$F$4:$F$6</c:f>
              <c:numCache>
                <c:formatCode>0.00%</c:formatCode>
                <c:ptCount val="3"/>
                <c:pt idx="0">
                  <c:v>0.24199999999999999</c:v>
                </c:pt>
                <c:pt idx="1">
                  <c:v>0.496</c:v>
                </c:pt>
                <c:pt idx="2">
                  <c:v>0.56200000000000006</c:v>
                </c:pt>
              </c:numCache>
            </c:numRef>
          </c:val>
          <c:smooth val="0"/>
          <c:extLst>
            <c:ext xmlns:c16="http://schemas.microsoft.com/office/drawing/2014/chart" uri="{C3380CC4-5D6E-409C-BE32-E72D297353CC}">
              <c16:uniqueId val="{00000000-5BE5-4D05-A0E1-2390D28FDA22}"/>
            </c:ext>
          </c:extLst>
        </c:ser>
        <c:dLbls>
          <c:dLblPos val="ctr"/>
          <c:showLegendKey val="0"/>
          <c:showVal val="1"/>
          <c:showCatName val="0"/>
          <c:showSerName val="0"/>
          <c:showPercent val="0"/>
          <c:showBubbleSize val="0"/>
        </c:dLbls>
        <c:marker val="1"/>
        <c:smooth val="0"/>
        <c:axId val="321045184"/>
        <c:axId val="321038944"/>
      </c:lineChart>
      <c:catAx>
        <c:axId val="3210451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1038944"/>
        <c:crosses val="autoZero"/>
        <c:auto val="1"/>
        <c:lblAlgn val="ctr"/>
        <c:lblOffset val="100"/>
        <c:noMultiLvlLbl val="0"/>
      </c:catAx>
      <c:valAx>
        <c:axId val="321038944"/>
        <c:scaling>
          <c:orientation val="minMax"/>
        </c:scaling>
        <c:delete val="1"/>
        <c:axPos val="l"/>
        <c:numFmt formatCode="0.00%" sourceLinked="1"/>
        <c:majorTickMark val="none"/>
        <c:minorTickMark val="none"/>
        <c:tickLblPos val="nextTo"/>
        <c:crossAx val="32104518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31749</xdr:rowOff>
    </xdr:from>
    <xdr:to>
      <xdr:col>5</xdr:col>
      <xdr:colOff>88900</xdr:colOff>
      <xdr:row>20</xdr:row>
      <xdr:rowOff>98424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209551</xdr:colOff>
      <xdr:row>8</xdr:row>
      <xdr:rowOff>139700</xdr:rowOff>
    </xdr:from>
    <xdr:to>
      <xdr:col>8</xdr:col>
      <xdr:colOff>431800</xdr:colOff>
      <xdr:row>19</xdr:row>
      <xdr:rowOff>107950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609600</xdr:colOff>
      <xdr:row>8</xdr:row>
      <xdr:rowOff>63500</xdr:rowOff>
    </xdr:from>
    <xdr:to>
      <xdr:col>13</xdr:col>
      <xdr:colOff>171450</xdr:colOff>
      <xdr:row>20</xdr:row>
      <xdr:rowOff>19050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158750</xdr:colOff>
      <xdr:row>0</xdr:row>
      <xdr:rowOff>177799</xdr:rowOff>
    </xdr:from>
    <xdr:to>
      <xdr:col>11</xdr:col>
      <xdr:colOff>749300</xdr:colOff>
      <xdr:row>1</xdr:row>
      <xdr:rowOff>294639</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8750" y="177799"/>
              <a:ext cx="10439400" cy="548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Isha" refreshedDate="46200.515167361111" createdVersion="6" refreshedVersion="6" minRefreshableVersion="3" recordCount="22">
  <cacheSource type="worksheet">
    <worksheetSource ref="A1:L23" sheet="RAW DATA"/>
  </cacheSource>
  <cacheFields count="12">
    <cacheField name="Emp Code" numFmtId="0">
      <sharedItems/>
    </cacheField>
    <cacheField name="Sales Executive" numFmtId="0">
      <sharedItems count="22">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1" maxValue="95"/>
    </cacheField>
    <cacheField name="Day2" numFmtId="0">
      <sharedItems containsSemiMixedTypes="0" containsString="0" containsNumber="1" containsInteger="1" minValue="17" maxValue="99"/>
    </cacheField>
    <cacheField name="Day3" numFmtId="0">
      <sharedItems containsSemiMixedTypes="0" containsString="0" containsNumber="1" containsInteger="1" minValue="11" maxValue="98"/>
    </cacheField>
    <cacheField name="Day4" numFmtId="0">
      <sharedItems containsSemiMixedTypes="0" containsString="0" containsNumber="1" containsInteger="1" minValue="12" maxValue="98"/>
    </cacheField>
    <cacheField name="Day5" numFmtId="0">
      <sharedItems containsSemiMixedTypes="0" containsString="0" containsNumber="1" containsInteger="1" minValue="18" maxValue="94"/>
    </cacheField>
    <cacheField name="Total Sales" numFmtId="0">
      <sharedItems containsSemiMixedTypes="0" containsString="0" containsNumber="1" containsInteger="1" minValue="185" maxValue="37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37" maxValue="0.75800000000000001"/>
    </cacheField>
    <cacheField name="Away From Target %" numFmtId="10">
      <sharedItems containsSemiMixedTypes="0" containsString="0" containsNumber="1" minValue="0.24199999999999999" maxValue="0.63"/>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2">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17"/>
    <n v="47"/>
    <n v="40"/>
    <n v="44"/>
    <n v="37"/>
    <n v="185"/>
    <n v="500"/>
    <n v="0.37"/>
    <n v="0.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rowHeaderCaption="Sales Executive">
  <location ref="K3:L6" firstHeaderRow="1" firstDataRow="1" firstDataCol="1"/>
  <pivotFields count="12">
    <pivotField showAll="0"/>
    <pivotField axis="axisRow" showAll="0" measureFilter="1">
      <items count="23">
        <item x="4"/>
        <item x="2"/>
        <item x="0"/>
        <item x="21"/>
        <item x="20"/>
        <item x="19"/>
        <item x="18"/>
        <item x="17"/>
        <item x="16"/>
        <item x="15"/>
        <item x="14"/>
        <item x="13"/>
        <item x="12"/>
        <item x="11"/>
        <item x="10"/>
        <item x="9"/>
        <item x="8"/>
        <item x="7"/>
        <item x="6"/>
        <item x="5"/>
        <item x="3"/>
        <item x="1"/>
        <item t="default"/>
      </items>
    </pivotField>
    <pivotField showAll="0">
      <items count="9">
        <item h="1" x="3"/>
        <item h="1" x="1"/>
        <item h="1" x="0"/>
        <item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3">
    <i>
      <x v="1"/>
    </i>
    <i>
      <x v="6"/>
    </i>
    <i>
      <x v="14"/>
    </i>
  </rowItems>
  <colItems count="1">
    <i/>
  </colItems>
  <dataFields count="1">
    <dataField name="target% wise" fld="8" baseField="1" baseItem="1" numFmtId="10"/>
  </dataFields>
  <formats count="12">
    <format dxfId="108">
      <pivotArea collapsedLevelsAreSubtotals="1" fieldPosition="0">
        <references count="1">
          <reference field="1" count="1">
            <x v="1"/>
          </reference>
        </references>
      </pivotArea>
    </format>
    <format dxfId="107">
      <pivotArea collapsedLevelsAreSubtotals="1" fieldPosition="0">
        <references count="1">
          <reference field="1" count="1">
            <x v="1"/>
          </reference>
        </references>
      </pivotArea>
    </format>
    <format dxfId="106">
      <pivotArea collapsedLevelsAreSubtotals="1" fieldPosition="0">
        <references count="1">
          <reference field="1" count="1">
            <x v="1"/>
          </reference>
        </references>
      </pivotArea>
    </format>
    <format dxfId="105">
      <pivotArea collapsedLevelsAreSubtotals="1" fieldPosition="0">
        <references count="1">
          <reference field="1" count="1">
            <x v="1"/>
          </reference>
        </references>
      </pivotArea>
    </format>
    <format dxfId="104">
      <pivotArea collapsedLevelsAreSubtotals="1" fieldPosition="0">
        <references count="1">
          <reference field="1" count="1">
            <x v="1"/>
          </reference>
        </references>
      </pivotArea>
    </format>
    <format dxfId="103">
      <pivotArea collapsedLevelsAreSubtotals="1" fieldPosition="0">
        <references count="1">
          <reference field="1" count="1">
            <x v="1"/>
          </reference>
        </references>
      </pivotArea>
    </format>
    <format dxfId="102">
      <pivotArea collapsedLevelsAreSubtotals="1" fieldPosition="0">
        <references count="1">
          <reference field="1" count="1">
            <x v="1"/>
          </reference>
        </references>
      </pivotArea>
    </format>
    <format dxfId="101">
      <pivotArea collapsedLevelsAreSubtotals="1" fieldPosition="0">
        <references count="1">
          <reference field="1" count="1">
            <x v="1"/>
          </reference>
        </references>
      </pivotArea>
    </format>
    <format dxfId="100">
      <pivotArea collapsedLevelsAreSubtotals="1" fieldPosition="0">
        <references count="1">
          <reference field="1" count="1">
            <x v="1"/>
          </reference>
        </references>
      </pivotArea>
    </format>
    <format dxfId="99">
      <pivotArea collapsedLevelsAreSubtotals="1" fieldPosition="0">
        <references count="1">
          <reference field="1" count="1">
            <x v="1"/>
          </reference>
        </references>
      </pivotArea>
    </format>
    <format dxfId="98">
      <pivotArea collapsedLevelsAreSubtotals="1" fieldPosition="0">
        <references count="1">
          <reference field="1" count="1">
            <x v="1"/>
          </reference>
        </references>
      </pivotArea>
    </format>
    <format dxfId="97">
      <pivotArea collapsedLevelsAreSubtotals="1" fieldPosition="0">
        <references count="1">
          <reference field="1" count="1">
            <x v="1"/>
          </reference>
        </references>
      </pivotArea>
    </format>
  </formats>
  <pivotTableStyleInfo name="PivotStyleDark3"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3" rowHeaderCaption="Sales Executive">
  <location ref="H3:I6" firstHeaderRow="1" firstDataRow="1" firstDataCol="1"/>
  <pivotFields count="12">
    <pivotField showAll="0"/>
    <pivotField axis="axisRow" showAll="0" measureFilter="1">
      <items count="23">
        <item x="4"/>
        <item x="2"/>
        <item x="0"/>
        <item x="21"/>
        <item x="20"/>
        <item x="19"/>
        <item x="18"/>
        <item x="17"/>
        <item x="16"/>
        <item x="15"/>
        <item x="14"/>
        <item x="13"/>
        <item x="12"/>
        <item x="11"/>
        <item x="10"/>
        <item x="9"/>
        <item x="8"/>
        <item x="7"/>
        <item x="6"/>
        <item x="5"/>
        <item x="3"/>
        <item x="1"/>
        <item t="default"/>
      </items>
    </pivotField>
    <pivotField showAll="0">
      <items count="9">
        <item h="1" x="3"/>
        <item h="1" x="1"/>
        <item h="1" x="0"/>
        <item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3">
    <i>
      <x v="1"/>
    </i>
    <i>
      <x v="6"/>
    </i>
    <i>
      <x v="14"/>
    </i>
  </rowItems>
  <colItems count="1">
    <i/>
  </colItems>
  <dataFields count="1">
    <dataField name="Total Sales " fld="8" baseField="1" baseItem="1"/>
  </dataFields>
  <chartFormats count="1">
    <chartFormat chart="2" format="7"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Sales Executive">
  <location ref="A3:B6" firstHeaderRow="1" firstDataRow="1" firstDataCol="1"/>
  <pivotFields count="12">
    <pivotField showAll="0"/>
    <pivotField axis="axisRow" showAll="0" measureFilter="1">
      <items count="23">
        <item x="4"/>
        <item x="2"/>
        <item x="0"/>
        <item x="21"/>
        <item x="20"/>
        <item x="19"/>
        <item x="18"/>
        <item x="17"/>
        <item x="16"/>
        <item x="15"/>
        <item x="14"/>
        <item x="13"/>
        <item x="12"/>
        <item x="11"/>
        <item x="10"/>
        <item x="9"/>
        <item x="8"/>
        <item x="7"/>
        <item x="6"/>
        <item x="5"/>
        <item x="3"/>
        <item x="1"/>
        <item t="default"/>
      </items>
    </pivotField>
    <pivotField showAll="0">
      <items count="9">
        <item h="1" x="3"/>
        <item h="1" x="1"/>
        <item h="1" x="0"/>
        <item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3">
    <i>
      <x v="1"/>
    </i>
    <i>
      <x v="6"/>
    </i>
    <i>
      <x v="14"/>
    </i>
  </rowItems>
  <colItems count="1">
    <i/>
  </colItems>
  <dataFields count="1">
    <dataField name="Total Sales " fld="8" baseField="1" baseItem="1"/>
  </dataFields>
  <chartFormats count="1">
    <chartFormat chart="0" format="1"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Sales Executive">
  <location ref="E3:F6" firstHeaderRow="1" firstDataRow="1" firstDataCol="1"/>
  <pivotFields count="12">
    <pivotField showAll="0"/>
    <pivotField axis="axisRow" showAll="0" measureFilter="1" sortType="ascending">
      <items count="23">
        <item x="4"/>
        <item x="2"/>
        <item x="0"/>
        <item x="21"/>
        <item x="20"/>
        <item x="19"/>
        <item x="18"/>
        <item x="17"/>
        <item x="16"/>
        <item x="15"/>
        <item x="14"/>
        <item x="13"/>
        <item x="12"/>
        <item x="11"/>
        <item x="10"/>
        <item x="9"/>
        <item x="8"/>
        <item x="7"/>
        <item x="6"/>
        <item x="5"/>
        <item x="3"/>
        <item x="1"/>
        <item t="default"/>
      </items>
    </pivotField>
    <pivotField showAll="0">
      <items count="9">
        <item h="1" x="3"/>
        <item h="1" x="1"/>
        <item h="1" x="0"/>
        <item x="2"/>
        <item h="1"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3">
    <i>
      <x v="1"/>
    </i>
    <i>
      <x v="6"/>
    </i>
    <i>
      <x v="14"/>
    </i>
  </rowItems>
  <colItems count="1">
    <i/>
  </colItems>
  <dataFields count="1">
    <dataField name=" Away From Target % wise" fld="11" baseField="1" baseItem="0" numFmtId="10"/>
  </dataFields>
  <chartFormats count="1">
    <chartFormat chart="0" format="1"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2"/>
    <pivotTable tabId="2" name="PivotTable3"/>
    <pivotTable tabId="2" name="PivotTable4"/>
  </pivotTables>
  <data>
    <tabular pivotCacheId="1">
      <items count="8">
        <i x="3"/>
        <i x="1"/>
        <i x="0"/>
        <i x="2" s="1"/>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8" showCaption="0" style="Slicer Style 1"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
  <sheetViews>
    <sheetView tabSelected="1" workbookViewId="0">
      <selection activeCell="F8" sqref="F8"/>
    </sheetView>
  </sheetViews>
  <sheetFormatPr defaultRowHeight="14.5" x14ac:dyDescent="0.35"/>
  <cols>
    <col min="1" max="1" width="15.7265625" customWidth="1"/>
    <col min="2" max="2" width="10.1796875" customWidth="1"/>
    <col min="5" max="5" width="15.7265625" bestFit="1" customWidth="1"/>
    <col min="6" max="6" width="22.81640625" bestFit="1" customWidth="1"/>
    <col min="8" max="8" width="15.7265625" bestFit="1" customWidth="1"/>
    <col min="9" max="9" width="10.1796875" bestFit="1" customWidth="1"/>
    <col min="11" max="11" width="15.7265625" bestFit="1" customWidth="1"/>
    <col min="12" max="12" width="11.54296875" bestFit="1" customWidth="1"/>
  </cols>
  <sheetData>
    <row r="1" spans="1:14" ht="34" customHeight="1" x14ac:dyDescent="0.35">
      <c r="A1" s="11"/>
      <c r="B1" s="11"/>
      <c r="C1" s="11"/>
      <c r="D1" s="11"/>
      <c r="E1" s="11"/>
      <c r="F1" s="11"/>
      <c r="G1" s="11"/>
      <c r="H1" s="11"/>
      <c r="I1" s="11"/>
      <c r="J1" s="11"/>
      <c r="K1" s="11"/>
      <c r="L1" s="11"/>
      <c r="M1" s="11"/>
      <c r="N1" s="11"/>
    </row>
    <row r="2" spans="1:14" ht="33.5" customHeight="1" x14ac:dyDescent="0.35">
      <c r="A2" s="11"/>
      <c r="B2" s="11"/>
      <c r="C2" s="11"/>
      <c r="D2" s="11"/>
      <c r="E2" s="11"/>
      <c r="F2" s="11"/>
      <c r="G2" s="11"/>
      <c r="H2" s="11"/>
      <c r="I2" s="11"/>
      <c r="J2" s="11"/>
      <c r="K2" s="11"/>
      <c r="L2" s="11"/>
      <c r="M2" s="11"/>
      <c r="N2" s="11"/>
    </row>
    <row r="3" spans="1:14" x14ac:dyDescent="0.35">
      <c r="A3" s="6" t="s">
        <v>1</v>
      </c>
      <c r="B3" t="s">
        <v>64</v>
      </c>
      <c r="C3" s="10"/>
      <c r="D3" s="10"/>
      <c r="E3" s="6" t="s">
        <v>1</v>
      </c>
      <c r="F3" t="s">
        <v>65</v>
      </c>
      <c r="G3" s="10"/>
      <c r="H3" s="6" t="s">
        <v>1</v>
      </c>
      <c r="I3" t="s">
        <v>64</v>
      </c>
      <c r="J3" s="10"/>
      <c r="K3" s="6" t="s">
        <v>1</v>
      </c>
      <c r="L3" t="s">
        <v>66</v>
      </c>
      <c r="M3" s="10"/>
      <c r="N3" s="10"/>
    </row>
    <row r="4" spans="1:14" x14ac:dyDescent="0.35">
      <c r="A4" s="7" t="s">
        <v>19</v>
      </c>
      <c r="B4" s="8">
        <v>379</v>
      </c>
      <c r="C4" s="10"/>
      <c r="D4" s="10"/>
      <c r="E4" s="7" t="s">
        <v>19</v>
      </c>
      <c r="F4" s="9">
        <v>0.24199999999999999</v>
      </c>
      <c r="G4" s="10"/>
      <c r="H4" s="7" t="s">
        <v>19</v>
      </c>
      <c r="I4" s="8">
        <v>379</v>
      </c>
      <c r="J4" s="10"/>
      <c r="K4" s="7" t="s">
        <v>19</v>
      </c>
      <c r="L4" s="9">
        <v>379</v>
      </c>
      <c r="M4" s="10"/>
      <c r="N4" s="10"/>
    </row>
    <row r="5" spans="1:14" x14ac:dyDescent="0.35">
      <c r="A5" s="7" t="s">
        <v>57</v>
      </c>
      <c r="B5" s="8">
        <v>252</v>
      </c>
      <c r="C5" s="10"/>
      <c r="D5" s="10"/>
      <c r="E5" s="7" t="s">
        <v>57</v>
      </c>
      <c r="F5" s="9">
        <v>0.496</v>
      </c>
      <c r="G5" s="10"/>
      <c r="H5" s="7" t="s">
        <v>57</v>
      </c>
      <c r="I5" s="8">
        <v>252</v>
      </c>
      <c r="J5" s="10"/>
      <c r="K5" s="7" t="s">
        <v>57</v>
      </c>
      <c r="L5" s="9">
        <v>252</v>
      </c>
      <c r="M5" s="10"/>
      <c r="N5" s="10"/>
    </row>
    <row r="6" spans="1:14" x14ac:dyDescent="0.35">
      <c r="A6" s="7" t="s">
        <v>41</v>
      </c>
      <c r="B6" s="8">
        <v>219</v>
      </c>
      <c r="C6" s="10"/>
      <c r="D6" s="10"/>
      <c r="E6" s="7" t="s">
        <v>41</v>
      </c>
      <c r="F6" s="9">
        <v>0.56200000000000006</v>
      </c>
      <c r="G6" s="10"/>
      <c r="H6" s="7" t="s">
        <v>41</v>
      </c>
      <c r="I6" s="8">
        <v>219</v>
      </c>
      <c r="J6" s="10"/>
      <c r="K6" s="7" t="s">
        <v>41</v>
      </c>
      <c r="L6" s="9">
        <v>219</v>
      </c>
      <c r="M6" s="10"/>
      <c r="N6" s="10"/>
    </row>
    <row r="7" spans="1:14" x14ac:dyDescent="0.35">
      <c r="A7" s="10"/>
      <c r="B7" s="10"/>
      <c r="C7" s="10"/>
      <c r="D7" s="10"/>
      <c r="E7" s="10"/>
      <c r="F7" s="10"/>
      <c r="G7" s="10"/>
      <c r="H7" s="10"/>
      <c r="I7" s="10"/>
      <c r="J7" s="10"/>
      <c r="K7" s="10"/>
      <c r="L7" s="10"/>
      <c r="M7" s="10"/>
      <c r="N7" s="10"/>
    </row>
    <row r="8" spans="1:14" x14ac:dyDescent="0.35">
      <c r="A8" s="10"/>
      <c r="B8" s="10"/>
      <c r="C8" s="10"/>
      <c r="D8" s="10"/>
      <c r="E8" s="10"/>
      <c r="F8" s="10"/>
      <c r="G8" s="10"/>
      <c r="H8" s="10"/>
      <c r="I8" s="10"/>
      <c r="J8" s="10"/>
      <c r="K8" s="10"/>
      <c r="L8" s="10"/>
      <c r="M8" s="10"/>
      <c r="N8" s="10"/>
    </row>
    <row r="9" spans="1:14" x14ac:dyDescent="0.35">
      <c r="F9" s="10"/>
      <c r="G9" s="10"/>
      <c r="H9" s="10"/>
      <c r="I9" s="10"/>
      <c r="J9" s="10"/>
      <c r="K9" s="10"/>
      <c r="L9" s="10"/>
      <c r="M9" s="10"/>
      <c r="N9" s="10"/>
    </row>
    <row r="10" spans="1:14" x14ac:dyDescent="0.35">
      <c r="F10" s="10"/>
      <c r="G10" s="10"/>
      <c r="H10" s="10"/>
      <c r="I10" s="10"/>
      <c r="J10" s="10"/>
      <c r="K10" s="10"/>
      <c r="L10" s="10"/>
      <c r="M10" s="10"/>
      <c r="N10" s="10"/>
    </row>
    <row r="11" spans="1:14" x14ac:dyDescent="0.35">
      <c r="F11" s="10"/>
      <c r="G11" s="10"/>
      <c r="H11" s="10"/>
      <c r="I11" s="10"/>
      <c r="J11" s="10"/>
      <c r="K11" s="10"/>
      <c r="L11" s="10"/>
      <c r="M11" s="10"/>
      <c r="N11" s="10"/>
    </row>
    <row r="12" spans="1:14" x14ac:dyDescent="0.35">
      <c r="F12" s="10"/>
      <c r="G12" s="10"/>
      <c r="H12" s="10"/>
      <c r="I12" s="10"/>
      <c r="J12" s="10"/>
      <c r="K12" s="10"/>
      <c r="L12" s="10"/>
      <c r="M12" s="10"/>
      <c r="N12" s="10"/>
    </row>
    <row r="13" spans="1:14" x14ac:dyDescent="0.35">
      <c r="F13" s="10"/>
      <c r="G13" s="10"/>
      <c r="H13" s="10"/>
      <c r="I13" s="10"/>
      <c r="J13" s="10"/>
      <c r="K13" s="10"/>
      <c r="L13" s="10"/>
      <c r="M13" s="10"/>
      <c r="N13" s="10"/>
    </row>
    <row r="14" spans="1:14" x14ac:dyDescent="0.35">
      <c r="F14" s="10"/>
      <c r="G14" s="10"/>
      <c r="H14" s="10"/>
      <c r="I14" s="10"/>
      <c r="J14" s="10"/>
      <c r="K14" s="10"/>
      <c r="L14" s="10"/>
      <c r="M14" s="10"/>
      <c r="N14" s="10"/>
    </row>
    <row r="15" spans="1:14" x14ac:dyDescent="0.35">
      <c r="F15" s="10"/>
      <c r="G15" s="10"/>
      <c r="H15" s="10"/>
      <c r="I15" s="10"/>
      <c r="J15" s="10"/>
      <c r="K15" s="10"/>
      <c r="L15" s="10"/>
      <c r="M15" s="10"/>
      <c r="N15" s="10"/>
    </row>
    <row r="16" spans="1:14" x14ac:dyDescent="0.35">
      <c r="F16" s="10"/>
      <c r="G16" s="10"/>
      <c r="H16" s="10"/>
      <c r="I16" s="10"/>
      <c r="J16" s="10"/>
      <c r="K16" s="10"/>
      <c r="L16" s="10"/>
      <c r="M16" s="10"/>
      <c r="N16" s="10"/>
    </row>
    <row r="17" spans="1:14" x14ac:dyDescent="0.35">
      <c r="F17" s="10"/>
      <c r="G17" s="10"/>
      <c r="H17" s="10"/>
      <c r="I17" s="10"/>
      <c r="J17" s="10"/>
      <c r="K17" s="10"/>
      <c r="L17" s="10"/>
      <c r="M17" s="10"/>
      <c r="N17" s="10"/>
    </row>
    <row r="18" spans="1:14" x14ac:dyDescent="0.35">
      <c r="F18" s="10"/>
      <c r="G18" s="10"/>
      <c r="H18" s="10"/>
      <c r="I18" s="10"/>
      <c r="J18" s="10"/>
      <c r="K18" s="10"/>
      <c r="L18" s="10"/>
      <c r="M18" s="10"/>
      <c r="N18" s="10"/>
    </row>
    <row r="19" spans="1:14" x14ac:dyDescent="0.35">
      <c r="F19" s="10"/>
      <c r="G19" s="10"/>
      <c r="H19" s="10"/>
      <c r="I19" s="10"/>
      <c r="J19" s="10"/>
      <c r="K19" s="10"/>
      <c r="L19" s="10"/>
      <c r="M19" s="10"/>
      <c r="N19" s="10"/>
    </row>
    <row r="20" spans="1:14" x14ac:dyDescent="0.35">
      <c r="F20" s="10"/>
      <c r="G20" s="10"/>
      <c r="H20" s="10"/>
      <c r="I20" s="10"/>
      <c r="J20" s="10"/>
      <c r="K20" s="10"/>
      <c r="L20" s="10"/>
      <c r="M20" s="10"/>
      <c r="N20" s="10"/>
    </row>
    <row r="21" spans="1:14" x14ac:dyDescent="0.35">
      <c r="A21" s="10"/>
      <c r="B21" s="10"/>
      <c r="C21" s="10"/>
      <c r="D21" s="10"/>
      <c r="E21" s="10"/>
      <c r="F21" s="10"/>
      <c r="G21" s="10"/>
      <c r="H21" s="10"/>
      <c r="I21" s="10"/>
      <c r="J21" s="10"/>
      <c r="K21" s="10"/>
      <c r="L21" s="10"/>
      <c r="M21" s="10"/>
      <c r="N21" s="10"/>
    </row>
    <row r="22" spans="1:14" x14ac:dyDescent="0.35">
      <c r="A22" s="10"/>
      <c r="B22" s="10"/>
      <c r="C22" s="10"/>
      <c r="D22" s="10"/>
      <c r="E22" s="10"/>
      <c r="F22" s="10"/>
      <c r="G22" s="10"/>
      <c r="H22" s="10"/>
      <c r="I22" s="10"/>
      <c r="J22" s="10"/>
      <c r="K22" s="10"/>
      <c r="L22" s="10"/>
      <c r="M22" s="10"/>
      <c r="N22" s="10"/>
    </row>
  </sheetData>
  <mergeCells count="1">
    <mergeCell ref="A1:N2"/>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workbookViewId="0">
      <selection sqref="A1:L23"/>
    </sheetView>
  </sheetViews>
  <sheetFormatPr defaultRowHeight="14.5" x14ac:dyDescent="0.35"/>
  <cols>
    <col min="1" max="1" width="14" customWidth="1"/>
    <col min="2" max="2" width="22" customWidth="1"/>
    <col min="3" max="3" width="10" customWidth="1"/>
    <col min="4" max="8" width="7" customWidth="1"/>
    <col min="9" max="9" width="11" customWidth="1"/>
    <col min="10" max="10" width="8" customWidth="1"/>
    <col min="11" max="11" width="13" customWidth="1"/>
    <col min="12" max="12" width="20" customWidth="1"/>
  </cols>
  <sheetData>
    <row r="1" spans="1:12" ht="30" customHeight="1"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s="2" t="s">
        <v>12</v>
      </c>
      <c r="B2" s="2" t="s">
        <v>13</v>
      </c>
      <c r="C2" s="2" t="s">
        <v>14</v>
      </c>
      <c r="D2" s="3">
        <v>49</v>
      </c>
      <c r="E2" s="3">
        <v>84</v>
      </c>
      <c r="F2" s="3">
        <v>98</v>
      </c>
      <c r="G2" s="3">
        <v>67</v>
      </c>
      <c r="H2" s="3">
        <v>41</v>
      </c>
      <c r="I2" s="3">
        <f t="shared" ref="I2:I23" si="0">SUM(D2:H2)</f>
        <v>339</v>
      </c>
      <c r="J2" s="4">
        <v>500</v>
      </c>
      <c r="K2" s="5">
        <f t="shared" ref="K2:K23" si="1">I2/J2</f>
        <v>0.67800000000000005</v>
      </c>
      <c r="L2" s="5">
        <f t="shared" ref="L2:L23" si="2">1-K2</f>
        <v>0.32199999999999995</v>
      </c>
    </row>
    <row r="3" spans="1:12" x14ac:dyDescent="0.35">
      <c r="A3" s="2" t="s">
        <v>15</v>
      </c>
      <c r="B3" s="2" t="s">
        <v>16</v>
      </c>
      <c r="C3" s="2" t="s">
        <v>17</v>
      </c>
      <c r="D3" s="3">
        <v>44</v>
      </c>
      <c r="E3" s="3">
        <v>85</v>
      </c>
      <c r="F3" s="3">
        <v>47</v>
      </c>
      <c r="G3" s="3">
        <v>15</v>
      </c>
      <c r="H3" s="3">
        <v>48</v>
      </c>
      <c r="I3" s="3">
        <f t="shared" si="0"/>
        <v>239</v>
      </c>
      <c r="J3" s="4">
        <v>500</v>
      </c>
      <c r="K3" s="5">
        <f t="shared" si="1"/>
        <v>0.47799999999999998</v>
      </c>
      <c r="L3" s="5">
        <f t="shared" si="2"/>
        <v>0.52200000000000002</v>
      </c>
    </row>
    <row r="4" spans="1:12" x14ac:dyDescent="0.35">
      <c r="A4" s="2" t="s">
        <v>18</v>
      </c>
      <c r="B4" s="2" t="s">
        <v>19</v>
      </c>
      <c r="C4" s="2" t="s">
        <v>20</v>
      </c>
      <c r="D4" s="3">
        <v>45</v>
      </c>
      <c r="E4" s="3">
        <v>79</v>
      </c>
      <c r="F4" s="3">
        <v>88</v>
      </c>
      <c r="G4" s="3">
        <v>73</v>
      </c>
      <c r="H4" s="3">
        <v>94</v>
      </c>
      <c r="I4" s="3">
        <f t="shared" si="0"/>
        <v>379</v>
      </c>
      <c r="J4" s="4">
        <v>500</v>
      </c>
      <c r="K4" s="5">
        <f t="shared" si="1"/>
        <v>0.75800000000000001</v>
      </c>
      <c r="L4" s="5">
        <f t="shared" si="2"/>
        <v>0.24199999999999999</v>
      </c>
    </row>
    <row r="5" spans="1:12" x14ac:dyDescent="0.35">
      <c r="A5" s="2" t="s">
        <v>21</v>
      </c>
      <c r="B5" s="2" t="s">
        <v>22</v>
      </c>
      <c r="C5" s="2" t="s">
        <v>23</v>
      </c>
      <c r="D5" s="3">
        <v>52</v>
      </c>
      <c r="E5" s="3">
        <v>99</v>
      </c>
      <c r="F5" s="3">
        <v>13</v>
      </c>
      <c r="G5" s="3">
        <v>95</v>
      </c>
      <c r="H5" s="3">
        <v>29</v>
      </c>
      <c r="I5" s="3">
        <f t="shared" si="0"/>
        <v>288</v>
      </c>
      <c r="J5" s="4">
        <v>500</v>
      </c>
      <c r="K5" s="5">
        <f t="shared" si="1"/>
        <v>0.57599999999999996</v>
      </c>
      <c r="L5" s="5">
        <f t="shared" si="2"/>
        <v>0.42400000000000004</v>
      </c>
    </row>
    <row r="6" spans="1:12" x14ac:dyDescent="0.35">
      <c r="A6" s="2" t="s">
        <v>24</v>
      </c>
      <c r="B6" s="2" t="s">
        <v>25</v>
      </c>
      <c r="C6" s="2" t="s">
        <v>26</v>
      </c>
      <c r="D6" s="3">
        <v>35</v>
      </c>
      <c r="E6" s="3">
        <v>54</v>
      </c>
      <c r="F6" s="3">
        <v>49</v>
      </c>
      <c r="G6" s="3">
        <v>26</v>
      </c>
      <c r="H6" s="3">
        <v>49</v>
      </c>
      <c r="I6" s="3">
        <f t="shared" si="0"/>
        <v>213</v>
      </c>
      <c r="J6" s="4">
        <v>500</v>
      </c>
      <c r="K6" s="5">
        <f t="shared" si="1"/>
        <v>0.42599999999999999</v>
      </c>
      <c r="L6" s="5">
        <f t="shared" si="2"/>
        <v>0.57400000000000007</v>
      </c>
    </row>
    <row r="7" spans="1:12" x14ac:dyDescent="0.35">
      <c r="A7" s="2" t="s">
        <v>27</v>
      </c>
      <c r="B7" s="2" t="s">
        <v>28</v>
      </c>
      <c r="C7" s="2" t="s">
        <v>29</v>
      </c>
      <c r="D7" s="3">
        <v>86</v>
      </c>
      <c r="E7" s="3">
        <v>31</v>
      </c>
      <c r="F7" s="3">
        <v>23</v>
      </c>
      <c r="G7" s="3">
        <v>48</v>
      </c>
      <c r="H7" s="3">
        <v>77</v>
      </c>
      <c r="I7" s="3">
        <f t="shared" si="0"/>
        <v>265</v>
      </c>
      <c r="J7" s="4">
        <v>500</v>
      </c>
      <c r="K7" s="5">
        <f t="shared" si="1"/>
        <v>0.53</v>
      </c>
      <c r="L7" s="5">
        <f t="shared" si="2"/>
        <v>0.47</v>
      </c>
    </row>
    <row r="8" spans="1:12" x14ac:dyDescent="0.35">
      <c r="A8" s="2" t="s">
        <v>30</v>
      </c>
      <c r="B8" s="2" t="s">
        <v>31</v>
      </c>
      <c r="C8" s="2" t="s">
        <v>32</v>
      </c>
      <c r="D8" s="3">
        <v>84</v>
      </c>
      <c r="E8" s="3">
        <v>28</v>
      </c>
      <c r="F8" s="3">
        <v>98</v>
      </c>
      <c r="G8" s="3">
        <v>80</v>
      </c>
      <c r="H8" s="3">
        <v>79</v>
      </c>
      <c r="I8" s="3">
        <f t="shared" si="0"/>
        <v>369</v>
      </c>
      <c r="J8" s="4">
        <v>500</v>
      </c>
      <c r="K8" s="5">
        <f t="shared" si="1"/>
        <v>0.73799999999999999</v>
      </c>
      <c r="L8" s="5">
        <f t="shared" si="2"/>
        <v>0.26200000000000001</v>
      </c>
    </row>
    <row r="9" spans="1:12" x14ac:dyDescent="0.35">
      <c r="A9" s="2" t="s">
        <v>33</v>
      </c>
      <c r="B9" s="2" t="s">
        <v>34</v>
      </c>
      <c r="C9" s="2" t="s">
        <v>35</v>
      </c>
      <c r="D9" s="3">
        <v>73</v>
      </c>
      <c r="E9" s="3">
        <v>97</v>
      </c>
      <c r="F9" s="3">
        <v>38</v>
      </c>
      <c r="G9" s="3">
        <v>24</v>
      </c>
      <c r="H9" s="3">
        <v>53</v>
      </c>
      <c r="I9" s="3">
        <f t="shared" si="0"/>
        <v>285</v>
      </c>
      <c r="J9" s="4">
        <v>500</v>
      </c>
      <c r="K9" s="5">
        <f t="shared" si="1"/>
        <v>0.56999999999999995</v>
      </c>
      <c r="L9" s="5">
        <f t="shared" si="2"/>
        <v>0.43000000000000005</v>
      </c>
    </row>
    <row r="10" spans="1:12" x14ac:dyDescent="0.35">
      <c r="A10" s="2" t="s">
        <v>36</v>
      </c>
      <c r="B10" s="2" t="s">
        <v>37</v>
      </c>
      <c r="C10" s="2" t="s">
        <v>14</v>
      </c>
      <c r="D10" s="3">
        <v>54</v>
      </c>
      <c r="E10" s="3">
        <v>26</v>
      </c>
      <c r="F10" s="3">
        <v>53</v>
      </c>
      <c r="G10" s="3">
        <v>36</v>
      </c>
      <c r="H10" s="3">
        <v>20</v>
      </c>
      <c r="I10" s="3">
        <f t="shared" si="0"/>
        <v>189</v>
      </c>
      <c r="J10" s="4">
        <v>500</v>
      </c>
      <c r="K10" s="5">
        <f t="shared" si="1"/>
        <v>0.378</v>
      </c>
      <c r="L10" s="5">
        <f t="shared" si="2"/>
        <v>0.622</v>
      </c>
    </row>
    <row r="11" spans="1:12" x14ac:dyDescent="0.35">
      <c r="A11" s="2" t="s">
        <v>38</v>
      </c>
      <c r="B11" s="2" t="s">
        <v>39</v>
      </c>
      <c r="C11" s="2" t="s">
        <v>17</v>
      </c>
      <c r="D11" s="3">
        <v>52</v>
      </c>
      <c r="E11" s="3">
        <v>52</v>
      </c>
      <c r="F11" s="3">
        <v>19</v>
      </c>
      <c r="G11" s="3">
        <v>53</v>
      </c>
      <c r="H11" s="3">
        <v>37</v>
      </c>
      <c r="I11" s="3">
        <f t="shared" si="0"/>
        <v>213</v>
      </c>
      <c r="J11" s="4">
        <v>500</v>
      </c>
      <c r="K11" s="5">
        <f t="shared" si="1"/>
        <v>0.42599999999999999</v>
      </c>
      <c r="L11" s="5">
        <f t="shared" si="2"/>
        <v>0.57400000000000007</v>
      </c>
    </row>
    <row r="12" spans="1:12" x14ac:dyDescent="0.35">
      <c r="A12" s="2" t="s">
        <v>40</v>
      </c>
      <c r="B12" s="2" t="s">
        <v>41</v>
      </c>
      <c r="C12" s="2" t="s">
        <v>20</v>
      </c>
      <c r="D12" s="3">
        <v>63</v>
      </c>
      <c r="E12" s="3">
        <v>17</v>
      </c>
      <c r="F12" s="3">
        <v>40</v>
      </c>
      <c r="G12" s="3">
        <v>48</v>
      </c>
      <c r="H12" s="3">
        <v>51</v>
      </c>
      <c r="I12" s="3">
        <f t="shared" si="0"/>
        <v>219</v>
      </c>
      <c r="J12" s="4">
        <v>500</v>
      </c>
      <c r="K12" s="5">
        <f t="shared" si="1"/>
        <v>0.438</v>
      </c>
      <c r="L12" s="5">
        <f t="shared" si="2"/>
        <v>0.56200000000000006</v>
      </c>
    </row>
    <row r="13" spans="1:12" x14ac:dyDescent="0.35">
      <c r="A13" s="2" t="s">
        <v>42</v>
      </c>
      <c r="B13" s="2" t="s">
        <v>43</v>
      </c>
      <c r="C13" s="2" t="s">
        <v>23</v>
      </c>
      <c r="D13" s="3">
        <v>79</v>
      </c>
      <c r="E13" s="3">
        <v>99</v>
      </c>
      <c r="F13" s="3">
        <v>95</v>
      </c>
      <c r="G13" s="3">
        <v>12</v>
      </c>
      <c r="H13" s="3">
        <v>91</v>
      </c>
      <c r="I13" s="3">
        <f t="shared" si="0"/>
        <v>376</v>
      </c>
      <c r="J13" s="4">
        <v>500</v>
      </c>
      <c r="K13" s="5">
        <f t="shared" si="1"/>
        <v>0.752</v>
      </c>
      <c r="L13" s="5">
        <f t="shared" si="2"/>
        <v>0.248</v>
      </c>
    </row>
    <row r="14" spans="1:12" x14ac:dyDescent="0.35">
      <c r="A14" s="2" t="s">
        <v>44</v>
      </c>
      <c r="B14" s="2" t="s">
        <v>45</v>
      </c>
      <c r="C14" s="2" t="s">
        <v>26</v>
      </c>
      <c r="D14" s="3">
        <v>95</v>
      </c>
      <c r="E14" s="3">
        <v>88</v>
      </c>
      <c r="F14" s="3">
        <v>11</v>
      </c>
      <c r="G14" s="3">
        <v>78</v>
      </c>
      <c r="H14" s="3">
        <v>60</v>
      </c>
      <c r="I14" s="3">
        <f t="shared" si="0"/>
        <v>332</v>
      </c>
      <c r="J14" s="4">
        <v>500</v>
      </c>
      <c r="K14" s="5">
        <f t="shared" si="1"/>
        <v>0.66400000000000003</v>
      </c>
      <c r="L14" s="5">
        <f t="shared" si="2"/>
        <v>0.33599999999999997</v>
      </c>
    </row>
    <row r="15" spans="1:12" x14ac:dyDescent="0.35">
      <c r="A15" s="2" t="s">
        <v>46</v>
      </c>
      <c r="B15" s="2" t="s">
        <v>47</v>
      </c>
      <c r="C15" s="2" t="s">
        <v>29</v>
      </c>
      <c r="D15" s="3">
        <v>83</v>
      </c>
      <c r="E15" s="3">
        <v>77</v>
      </c>
      <c r="F15" s="3">
        <v>66</v>
      </c>
      <c r="G15" s="3">
        <v>22</v>
      </c>
      <c r="H15" s="3">
        <v>40</v>
      </c>
      <c r="I15" s="3">
        <f t="shared" si="0"/>
        <v>288</v>
      </c>
      <c r="J15" s="4">
        <v>500</v>
      </c>
      <c r="K15" s="5">
        <f t="shared" si="1"/>
        <v>0.57599999999999996</v>
      </c>
      <c r="L15" s="5">
        <f t="shared" si="2"/>
        <v>0.42400000000000004</v>
      </c>
    </row>
    <row r="16" spans="1:12" x14ac:dyDescent="0.35">
      <c r="A16" s="2" t="s">
        <v>48</v>
      </c>
      <c r="B16" s="2" t="s">
        <v>49</v>
      </c>
      <c r="C16" s="2" t="s">
        <v>32</v>
      </c>
      <c r="D16" s="3">
        <v>78</v>
      </c>
      <c r="E16" s="3">
        <v>58</v>
      </c>
      <c r="F16" s="3">
        <v>34</v>
      </c>
      <c r="G16" s="3">
        <v>84</v>
      </c>
      <c r="H16" s="3">
        <v>31</v>
      </c>
      <c r="I16" s="3">
        <f t="shared" si="0"/>
        <v>285</v>
      </c>
      <c r="J16" s="4">
        <v>500</v>
      </c>
      <c r="K16" s="5">
        <f t="shared" si="1"/>
        <v>0.56999999999999995</v>
      </c>
      <c r="L16" s="5">
        <f t="shared" si="2"/>
        <v>0.43000000000000005</v>
      </c>
    </row>
    <row r="17" spans="1:12" x14ac:dyDescent="0.35">
      <c r="A17" s="2" t="s">
        <v>50</v>
      </c>
      <c r="B17" s="2" t="s">
        <v>51</v>
      </c>
      <c r="C17" s="2" t="s">
        <v>35</v>
      </c>
      <c r="D17" s="3">
        <v>14</v>
      </c>
      <c r="E17" s="3">
        <v>25</v>
      </c>
      <c r="F17" s="3">
        <v>45</v>
      </c>
      <c r="G17" s="3">
        <v>70</v>
      </c>
      <c r="H17" s="3">
        <v>45</v>
      </c>
      <c r="I17" s="3">
        <f t="shared" si="0"/>
        <v>199</v>
      </c>
      <c r="J17" s="4">
        <v>500</v>
      </c>
      <c r="K17" s="5">
        <f t="shared" si="1"/>
        <v>0.39800000000000002</v>
      </c>
      <c r="L17" s="5">
        <f t="shared" si="2"/>
        <v>0.60199999999999998</v>
      </c>
    </row>
    <row r="18" spans="1:12" x14ac:dyDescent="0.35">
      <c r="A18" s="2" t="s">
        <v>52</v>
      </c>
      <c r="B18" s="2" t="s">
        <v>53</v>
      </c>
      <c r="C18" s="2" t="s">
        <v>14</v>
      </c>
      <c r="D18" s="3">
        <v>37</v>
      </c>
      <c r="E18" s="3">
        <v>69</v>
      </c>
      <c r="F18" s="3">
        <v>96</v>
      </c>
      <c r="G18" s="3">
        <v>66</v>
      </c>
      <c r="H18" s="3">
        <v>38</v>
      </c>
      <c r="I18" s="3">
        <f t="shared" si="0"/>
        <v>306</v>
      </c>
      <c r="J18" s="4">
        <v>500</v>
      </c>
      <c r="K18" s="5">
        <f t="shared" si="1"/>
        <v>0.61199999999999999</v>
      </c>
      <c r="L18" s="5">
        <f t="shared" si="2"/>
        <v>0.38800000000000001</v>
      </c>
    </row>
    <row r="19" spans="1:12" x14ac:dyDescent="0.35">
      <c r="A19" s="2" t="s">
        <v>54</v>
      </c>
      <c r="B19" s="2" t="s">
        <v>55</v>
      </c>
      <c r="C19" s="2" t="s">
        <v>17</v>
      </c>
      <c r="D19" s="3">
        <v>11</v>
      </c>
      <c r="E19" s="3">
        <v>46</v>
      </c>
      <c r="F19" s="3">
        <v>91</v>
      </c>
      <c r="G19" s="3">
        <v>98</v>
      </c>
      <c r="H19" s="3">
        <v>45</v>
      </c>
      <c r="I19" s="3">
        <f t="shared" si="0"/>
        <v>291</v>
      </c>
      <c r="J19" s="4">
        <v>500</v>
      </c>
      <c r="K19" s="5">
        <f t="shared" si="1"/>
        <v>0.58199999999999996</v>
      </c>
      <c r="L19" s="5">
        <f t="shared" si="2"/>
        <v>0.41800000000000004</v>
      </c>
    </row>
    <row r="20" spans="1:12" x14ac:dyDescent="0.35">
      <c r="A20" s="2" t="s">
        <v>56</v>
      </c>
      <c r="B20" s="2" t="s">
        <v>57</v>
      </c>
      <c r="C20" s="2" t="s">
        <v>20</v>
      </c>
      <c r="D20" s="3">
        <v>19</v>
      </c>
      <c r="E20" s="3">
        <v>34</v>
      </c>
      <c r="F20" s="3">
        <v>64</v>
      </c>
      <c r="G20" s="3">
        <v>65</v>
      </c>
      <c r="H20" s="3">
        <v>70</v>
      </c>
      <c r="I20" s="3">
        <f t="shared" si="0"/>
        <v>252</v>
      </c>
      <c r="J20" s="4">
        <v>500</v>
      </c>
      <c r="K20" s="5">
        <f t="shared" si="1"/>
        <v>0.504</v>
      </c>
      <c r="L20" s="5">
        <f t="shared" si="2"/>
        <v>0.496</v>
      </c>
    </row>
    <row r="21" spans="1:12" x14ac:dyDescent="0.35">
      <c r="A21" s="2" t="s">
        <v>58</v>
      </c>
      <c r="B21" s="2" t="s">
        <v>59</v>
      </c>
      <c r="C21" s="2" t="s">
        <v>23</v>
      </c>
      <c r="D21" s="3">
        <v>93</v>
      </c>
      <c r="E21" s="3">
        <v>84</v>
      </c>
      <c r="F21" s="3">
        <v>13</v>
      </c>
      <c r="G21" s="3">
        <v>45</v>
      </c>
      <c r="H21" s="3">
        <v>18</v>
      </c>
      <c r="I21" s="3">
        <f t="shared" si="0"/>
        <v>253</v>
      </c>
      <c r="J21" s="4">
        <v>500</v>
      </c>
      <c r="K21" s="5">
        <f t="shared" si="1"/>
        <v>0.50600000000000001</v>
      </c>
      <c r="L21" s="5">
        <f t="shared" si="2"/>
        <v>0.49399999999999999</v>
      </c>
    </row>
    <row r="22" spans="1:12" x14ac:dyDescent="0.35">
      <c r="A22" s="2" t="s">
        <v>60</v>
      </c>
      <c r="B22" s="2" t="s">
        <v>61</v>
      </c>
      <c r="C22" s="2" t="s">
        <v>26</v>
      </c>
      <c r="D22" s="3">
        <v>68</v>
      </c>
      <c r="E22" s="3">
        <v>73</v>
      </c>
      <c r="F22" s="3">
        <v>97</v>
      </c>
      <c r="G22" s="3">
        <v>76</v>
      </c>
      <c r="H22" s="3">
        <v>53</v>
      </c>
      <c r="I22" s="3">
        <f t="shared" si="0"/>
        <v>367</v>
      </c>
      <c r="J22" s="4">
        <v>500</v>
      </c>
      <c r="K22" s="5">
        <f t="shared" si="1"/>
        <v>0.73399999999999999</v>
      </c>
      <c r="L22" s="5">
        <f t="shared" si="2"/>
        <v>0.26600000000000001</v>
      </c>
    </row>
    <row r="23" spans="1:12" x14ac:dyDescent="0.35">
      <c r="A23" s="2" t="s">
        <v>62</v>
      </c>
      <c r="B23" s="2" t="s">
        <v>63</v>
      </c>
      <c r="C23" s="2" t="s">
        <v>29</v>
      </c>
      <c r="D23" s="3">
        <v>17</v>
      </c>
      <c r="E23" s="3">
        <v>47</v>
      </c>
      <c r="F23" s="3">
        <v>40</v>
      </c>
      <c r="G23" s="3">
        <v>44</v>
      </c>
      <c r="H23" s="3">
        <v>37</v>
      </c>
      <c r="I23" s="3">
        <f t="shared" si="0"/>
        <v>185</v>
      </c>
      <c r="J23" s="4">
        <v>500</v>
      </c>
      <c r="K23" s="5">
        <f t="shared" si="1"/>
        <v>0.37</v>
      </c>
      <c r="L23" s="5">
        <f t="shared" si="2"/>
        <v>0.63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Isha</cp:lastModifiedBy>
  <dcterms:created xsi:type="dcterms:W3CDTF">2026-06-27T06:46:49Z</dcterms:created>
  <dcterms:modified xsi:type="dcterms:W3CDTF">2026-07-16T07:13:06Z</dcterms:modified>
</cp:coreProperties>
</file>